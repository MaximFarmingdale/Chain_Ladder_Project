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 PC (DESKTOP-JQBDP5S)\Downloads\ChainLadder\"/>
    </mc:Choice>
  </mc:AlternateContent>
  <xr:revisionPtr revIDLastSave="0" documentId="13_ncr:1_{90F688C5-51CF-4F32-B441-0987B4B50120}" xr6:coauthVersionLast="47" xr6:coauthVersionMax="47" xr10:uidLastSave="{00000000-0000-0000-0000-000000000000}"/>
  <bookViews>
    <workbookView xWindow="57480" yWindow="15915" windowWidth="27960" windowHeight="16440" activeTab="2" xr2:uid="{00000000-000D-0000-FFFF-FFFF00000000}"/>
  </bookViews>
  <sheets>
    <sheet name="Dashboard" sheetId="1" r:id="rId1"/>
    <sheet name="Dashboard-Lists" sheetId="3" state="hidden" r:id="rId2"/>
    <sheet name="Actuarial Triangle" sheetId="2" r:id="rId3"/>
  </sheets>
  <definedNames>
    <definedName name="Modifier">Table4[[#Headers],[Modifier]]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24" i="2"/>
  <c r="L4" i="2"/>
  <c r="M4" i="2" s="1"/>
  <c r="L5" i="2"/>
  <c r="B38" i="2"/>
  <c r="C38" i="2"/>
  <c r="D38" i="2"/>
  <c r="E38" i="2"/>
  <c r="F38" i="2"/>
  <c r="G38" i="2"/>
  <c r="H38" i="2"/>
  <c r="I38" i="2"/>
  <c r="J38" i="2"/>
  <c r="L25" i="2" s="1"/>
  <c r="L26" i="2" s="1"/>
  <c r="L27" i="2" s="1"/>
  <c r="L28" i="2" s="1"/>
  <c r="L29" i="2" s="1"/>
  <c r="L30" i="2" s="1"/>
  <c r="L31" i="2" s="1"/>
  <c r="L32" i="2" s="1"/>
  <c r="L33" i="2" s="1"/>
  <c r="C18" i="2"/>
  <c r="D18" i="2"/>
  <c r="E18" i="2"/>
  <c r="F18" i="2"/>
  <c r="G18" i="2"/>
  <c r="H18" i="2"/>
  <c r="I18" i="2"/>
  <c r="L6" i="2" s="1"/>
  <c r="J18" i="2"/>
  <c r="B17" i="2"/>
  <c r="B18" i="2" s="1"/>
  <c r="B12" i="1"/>
  <c r="B4" i="1"/>
  <c r="M24" i="2"/>
  <c r="J37" i="2"/>
  <c r="I37" i="2"/>
  <c r="H37" i="2"/>
  <c r="G37" i="2"/>
  <c r="F37" i="2"/>
  <c r="E37" i="2"/>
  <c r="D37" i="2"/>
  <c r="C37" i="2"/>
  <c r="B37" i="2"/>
  <c r="J17" i="2"/>
  <c r="I17" i="2"/>
  <c r="H17" i="2"/>
  <c r="G17" i="2"/>
  <c r="F17" i="2"/>
  <c r="E17" i="2"/>
  <c r="D17" i="2"/>
  <c r="C17" i="2"/>
  <c r="L7" i="2" l="1"/>
  <c r="L8" i="2"/>
  <c r="L9" i="2"/>
  <c r="L10" i="2"/>
  <c r="L11" i="2" s="1"/>
  <c r="L12" i="2" s="1"/>
  <c r="L13" i="2" s="1"/>
  <c r="M25" i="2"/>
  <c r="M5" i="2"/>
  <c r="M6" i="2"/>
  <c r="M26" i="2" l="1"/>
  <c r="M7" i="2"/>
  <c r="M8" i="2"/>
  <c r="M27" i="2" l="1"/>
  <c r="M9" i="2"/>
  <c r="M28" i="2" l="1"/>
  <c r="M10" i="2"/>
  <c r="M29" i="2" l="1"/>
  <c r="M11" i="2"/>
  <c r="B5" i="1" s="1"/>
  <c r="M30" i="2" l="1"/>
  <c r="M12" i="2"/>
  <c r="M13" i="2"/>
  <c r="M31" i="2" l="1"/>
  <c r="M32" i="2" l="1"/>
  <c r="B13" i="1" s="1"/>
  <c r="M33" i="2"/>
</calcChain>
</file>

<file path=xl/sharedStrings.xml><?xml version="1.0" encoding="utf-8"?>
<sst xmlns="http://schemas.openxmlformats.org/spreadsheetml/2006/main" count="75" uniqueCount="43">
  <si>
    <t>State Farm Cumulative Loss Triangle</t>
  </si>
  <si>
    <t>Maturity Interval</t>
  </si>
  <si>
    <t>Selected LDF</t>
  </si>
  <si>
    <t>12 to 24</t>
  </si>
  <si>
    <t>24 to 36</t>
  </si>
  <si>
    <t>36 to 48</t>
  </si>
  <si>
    <t>48 to 60</t>
  </si>
  <si>
    <t>72 to 84</t>
  </si>
  <si>
    <t>84 to 96</t>
  </si>
  <si>
    <t>96 to 108</t>
  </si>
  <si>
    <t>108 to 120</t>
  </si>
  <si>
    <t>50 to 72</t>
  </si>
  <si>
    <t>Passenger Auto</t>
  </si>
  <si>
    <t>Line of Business:</t>
  </si>
  <si>
    <t>Evaluation Date:</t>
  </si>
  <si>
    <t>Total Cumulative Paid-To-Date</t>
  </si>
  <si>
    <t>Projected Ultimate Loss Cost</t>
  </si>
  <si>
    <t>CDF</t>
  </si>
  <si>
    <t>Industry Cumulative Loss Triangle</t>
  </si>
  <si>
    <t>12</t>
  </si>
  <si>
    <t>24</t>
  </si>
  <si>
    <t>36</t>
  </si>
  <si>
    <t>48</t>
  </si>
  <si>
    <t>60</t>
  </si>
  <si>
    <t>72</t>
  </si>
  <si>
    <t>84</t>
  </si>
  <si>
    <t>96</t>
  </si>
  <si>
    <t>108</t>
  </si>
  <si>
    <t>120</t>
  </si>
  <si>
    <t>Model Indicated LDF</t>
  </si>
  <si>
    <t>Future Cost Predictor</t>
  </si>
  <si>
    <t>Executive Loss Reserve Summary of State Farm</t>
  </si>
  <si>
    <t>Executive Loss Summary of Industry</t>
  </si>
  <si>
    <t>Current Year</t>
  </si>
  <si>
    <t>Current Amount</t>
  </si>
  <si>
    <t>Model</t>
  </si>
  <si>
    <t>Calculation</t>
  </si>
  <si>
    <t>Years</t>
  </si>
  <si>
    <t>Models</t>
  </si>
  <si>
    <t>Industry</t>
  </si>
  <si>
    <t>Projected Ultimate Loss</t>
  </si>
  <si>
    <t>Modifier</t>
  </si>
  <si>
    <t>State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</si>
</sst>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2" fillId="0" borderId="0" xfId="0" applyFont="1"/>
    <xf numFmtId="15" fontId="0" fillId="0" borderId="3" xfId="0" applyNumberFormat="1" applyBorder="1"/>
    <xf numFmtId="43" fontId="0" fillId="0" borderId="3" xfId="1" applyFont="1" applyBorder="1"/>
    <xf numFmtId="0" fontId="0" fillId="0" borderId="4" xfId="0" applyBorder="1"/>
    <xf numFmtId="0" fontId="0" fillId="3" borderId="4" xfId="0" applyFill="1" applyBorder="1"/>
    <xf numFmtId="0" fontId="0" fillId="3" borderId="3" xfId="0" applyFill="1" applyBorder="1"/>
    <xf numFmtId="14" fontId="0" fillId="0" borderId="1" xfId="0" applyNumberFormat="1" applyBorder="1"/>
    <xf numFmtId="14" fontId="0" fillId="0" borderId="2" xfId="0" applyNumberFormat="1" applyBorder="1"/>
    <xf numFmtId="14" fontId="0" fillId="0" borderId="0" xfId="0" applyNumberFormat="1"/>
    <xf numFmtId="0" fontId="0" fillId="0" borderId="3" xfId="0" applyBorder="1"/>
    <xf numFmtId="164" fontId="0" fillId="0" borderId="3" xfId="0" applyNumberFormat="1" applyBorder="1"/>
    <xf numFmtId="9" fontId="0" fillId="0" borderId="3" xfId="2" applyFont="1" applyBorder="1"/>
    <xf numFmtId="9" fontId="0" fillId="0" borderId="0" xfId="2" applyFont="1"/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"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917D9-2D23-46EE-A110-D5B3064D2C72}" name="Table3" displayName="Table3" ref="A3:M13" totalsRowShown="0">
  <autoFilter ref="A3:M13" xr:uid="{192917D9-2D23-46EE-A110-D5B3064D2C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73652C9-C63D-438D-B158-50F71E44BEC1}" name="State Farm Cumulative Loss Triangle" dataDxfId="2"/>
    <tableColumn id="2" xr3:uid="{E8C9FFEE-D126-4C2D-BF9B-DDB6C0F8481A}" name="12"/>
    <tableColumn id="3" xr3:uid="{F1B9EA65-6C9B-4A0B-89D5-82241C0E508D}" name="24"/>
    <tableColumn id="4" xr3:uid="{B7D70EEB-5B23-406F-A95C-4739360E9268}" name="36"/>
    <tableColumn id="5" xr3:uid="{FDFF45DF-4104-48D1-8156-7E4DCF4BDC0A}" name="48"/>
    <tableColumn id="6" xr3:uid="{1B68D4DC-1C1A-4D13-B91B-5AFEC120DCAC}" name="60"/>
    <tableColumn id="7" xr3:uid="{FBA4F111-9EC9-4049-8AC9-E1065CD1BC41}" name="72"/>
    <tableColumn id="8" xr3:uid="{D570E26E-8D43-4B47-865E-8E2D8648057C}" name="84"/>
    <tableColumn id="9" xr3:uid="{CB66E9EC-173E-4DD6-B9EE-7158A3805685}" name="96"/>
    <tableColumn id="10" xr3:uid="{B575B536-DEE4-4E6C-B621-662357B31620}" name="108"/>
    <tableColumn id="11" xr3:uid="{83B3F591-2371-4F17-9291-0E5E468833DB}" name="120"/>
    <tableColumn id="12" xr3:uid="{C9060955-3DA9-469D-9CCA-CBCF1770E45C}" name="CDF"/>
    <tableColumn id="13" xr3:uid="{7A1BCA85-EE56-4ACD-8445-BBDF02605EAB}" name="Projected Ultimate L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DC1029-CAF8-45F4-A473-89939CD43320}" name="Table4" displayName="Table4" ref="A16:K18" totalsRowShown="0">
  <autoFilter ref="A16:K18" xr:uid="{FCDC1029-CAF8-45F4-A473-89939CD433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33180F1-39DA-4EB8-90B2-7FA0354FA756}" name="Maturity Interval"/>
    <tableColumn id="2" xr3:uid="{BFB62A60-B1DA-446E-8F15-D1F1AB7B339E}" name="12 to 24" dataDxfId="1">
      <calculatedColumnFormula>SUM(C4:C12)/SUM(B4:B12)</calculatedColumnFormula>
    </tableColumn>
    <tableColumn id="3" xr3:uid="{FC2F138F-6423-4EA1-A19C-BE05CFDE6FDA}" name="24 to 36">
      <calculatedColumnFormula>C16</calculatedColumnFormula>
    </tableColumn>
    <tableColumn id="4" xr3:uid="{5DDBE8A3-599C-431E-8F59-26F4FE376C54}" name="36 to 48">
      <calculatedColumnFormula>D16</calculatedColumnFormula>
    </tableColumn>
    <tableColumn id="5" xr3:uid="{63FC4ADC-E84C-48CD-AF4E-0DA1DDD269E1}" name="48 to 60">
      <calculatedColumnFormula>E16</calculatedColumnFormula>
    </tableColumn>
    <tableColumn id="6" xr3:uid="{BC05D953-6C2D-47EA-8D3A-33D226D02AD0}" name="50 to 72">
      <calculatedColumnFormula>F16</calculatedColumnFormula>
    </tableColumn>
    <tableColumn id="7" xr3:uid="{0E5E13F9-7F2B-4CB9-BC8B-89107AA74F88}" name="72 to 84">
      <calculatedColumnFormula>G16</calculatedColumnFormula>
    </tableColumn>
    <tableColumn id="8" xr3:uid="{E7B9A86A-DB53-4F2A-B05C-55CCD2D633FE}" name="84 to 96">
      <calculatedColumnFormula>H16</calculatedColumnFormula>
    </tableColumn>
    <tableColumn id="9" xr3:uid="{278221C0-2037-44AA-9C4C-DF9E9FF33361}" name="96 to 108">
      <calculatedColumnFormula>I16</calculatedColumnFormula>
    </tableColumn>
    <tableColumn id="10" xr3:uid="{297AE622-DAFA-4A51-A2A8-E880C79C50CA}" name="108 to 120">
      <calculatedColumnFormula>J16</calculatedColumnFormula>
    </tableColumn>
    <tableColumn id="11" xr3:uid="{73DAC59B-C8DF-4189-A58C-78DF3942BD1F}" name="Modifier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2CCD21-394D-4884-B0C9-5BF7C6C11ECE}" name="Table9" displayName="Table9" ref="A23:M33" totalsRowShown="0">
  <autoFilter ref="A23:M33" xr:uid="{0E2CCD21-394D-4884-B0C9-5BF7C6C11E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602F9F5-7EA2-4692-B477-0065AE0DB844}" name="Industry Cumulative Loss Triangle" dataDxfId="0"/>
    <tableColumn id="2" xr3:uid="{D2E2DD65-691A-4DF8-A3C8-E09CE7373FBB}" name="12"/>
    <tableColumn id="3" xr3:uid="{0C2C2726-DFAF-4F7E-963D-BFE17CF3979F}" name="24"/>
    <tableColumn id="4" xr3:uid="{3AF005E5-10F2-4200-925B-5304EE38B35F}" name="36"/>
    <tableColumn id="5" xr3:uid="{65DC9FAC-3C0F-4EF4-ACEF-B5748EC4EFC6}" name="48"/>
    <tableColumn id="6" xr3:uid="{CAC404C7-18F1-4831-8A34-D5A0FAD63680}" name="60"/>
    <tableColumn id="7" xr3:uid="{071836D9-36B6-460B-9367-721AD127C66C}" name="72"/>
    <tableColumn id="8" xr3:uid="{CAC90AF8-4D11-4B6B-A3D1-14838A11BC73}" name="84"/>
    <tableColumn id="9" xr3:uid="{FDFA5DE4-68A6-41E0-BEF1-08321AD2CB67}" name="96"/>
    <tableColumn id="10" xr3:uid="{0C55026E-F058-4D97-BFA3-FC04CB9886F0}" name="108"/>
    <tableColumn id="11" xr3:uid="{1584C54C-6B54-46E4-830F-12AAF2998F39}" name="120"/>
    <tableColumn id="12" xr3:uid="{E5A959D1-205A-4BF8-96BB-F2FF90EDE09C}" name="CDF"/>
    <tableColumn id="13" xr3:uid="{E001D459-1B31-460D-BAA7-A54E088ED966}" name="Projected Ultimate Los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C9E15E-F828-4265-AD7F-76FDE14F1A2D}" name="Table10" displayName="Table10" ref="A36:K38" totalsRowShown="0">
  <autoFilter ref="A36:K38" xr:uid="{E9C9E15E-F828-4265-AD7F-76FDE14F1A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A934B4A-71B9-4C2C-A7AC-7C3089365560}" name="Maturity Interval"/>
    <tableColumn id="2" xr3:uid="{828A49A4-66F7-42FF-82D2-A0204DD670EF}" name="12 to 24">
      <calculatedColumnFormula>B36 * (1+ Modfier)</calculatedColumnFormula>
    </tableColumn>
    <tableColumn id="3" xr3:uid="{55515840-C7B3-4DC7-A97D-99BAF55F8832}" name="24 to 36">
      <calculatedColumnFormula>C36 * (1+ Modfier)</calculatedColumnFormula>
    </tableColumn>
    <tableColumn id="4" xr3:uid="{BA6F72BB-A49C-46BA-A874-FC489F396571}" name="36 to 48">
      <calculatedColumnFormula>D36 * (1+ Modfier)</calculatedColumnFormula>
    </tableColumn>
    <tableColumn id="5" xr3:uid="{B5029975-5658-4FDE-8009-7465BACB092B}" name="48 to 60">
      <calculatedColumnFormula>E36 * (1+ Modfier)</calculatedColumnFormula>
    </tableColumn>
    <tableColumn id="6" xr3:uid="{C1423416-BAD9-46D1-AA76-6A9AFF277207}" name="50 to 72">
      <calculatedColumnFormula>F36 * (1+ Modfier)</calculatedColumnFormula>
    </tableColumn>
    <tableColumn id="7" xr3:uid="{84BDFD8E-D2ED-4029-AD5C-456D0063F85D}" name="72 to 84">
      <calculatedColumnFormula>G36 * (1+ Modfier)</calculatedColumnFormula>
    </tableColumn>
    <tableColumn id="8" xr3:uid="{4EFD49D9-0D54-4F71-B22A-B31A5243F25C}" name="84 to 96">
      <calculatedColumnFormula>H36 * (1+ Modfier)</calculatedColumnFormula>
    </tableColumn>
    <tableColumn id="9" xr3:uid="{6B92626E-B04F-4770-A226-44D3AB148F80}" name="96 to 108">
      <calculatedColumnFormula>I36 * (1+ Modfier)</calculatedColumnFormula>
    </tableColumn>
    <tableColumn id="10" xr3:uid="{32966693-F15A-4B95-8165-CAA49E61A059}" name="108 to 120">
      <calculatedColumnFormula>J36 * (1+ Modfier)</calculatedColumnFormula>
    </tableColumn>
    <tableColumn id="11" xr3:uid="{6FB1B461-46AC-46FC-B3BD-FD1FBCF7ADCC}" name="Modifi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I4" sqref="I4"/>
    </sheetView>
  </sheetViews>
  <sheetFormatPr defaultRowHeight="14.5" x14ac:dyDescent="0.35"/>
  <cols>
    <col min="1" max="1" width="27.26953125" bestFit="1" customWidth="1"/>
    <col min="2" max="2" width="21.36328125" customWidth="1"/>
    <col min="3" max="3" width="14.1796875" customWidth="1"/>
    <col min="4" max="4" width="8.81640625" bestFit="1" customWidth="1"/>
    <col min="6" max="6" width="14.7265625" bestFit="1" customWidth="1"/>
    <col min="7" max="7" width="11.453125" bestFit="1" customWidth="1"/>
    <col min="8" max="8" width="7.90625" bestFit="1" customWidth="1"/>
    <col min="9" max="9" width="16.6328125" bestFit="1" customWidth="1"/>
  </cols>
  <sheetData>
    <row r="1" spans="1:10" x14ac:dyDescent="0.35">
      <c r="A1" s="15" t="s">
        <v>31</v>
      </c>
      <c r="B1" s="15"/>
      <c r="F1" s="16" t="s">
        <v>30</v>
      </c>
      <c r="G1" s="17"/>
      <c r="H1" s="17"/>
      <c r="I1" s="17"/>
      <c r="J1" s="18"/>
    </row>
    <row r="2" spans="1:10" x14ac:dyDescent="0.35">
      <c r="A2" s="6" t="s">
        <v>13</v>
      </c>
      <c r="B2" s="5" t="s">
        <v>12</v>
      </c>
      <c r="F2" s="7" t="s">
        <v>34</v>
      </c>
      <c r="G2" s="7" t="s">
        <v>33</v>
      </c>
      <c r="H2" s="7" t="s">
        <v>35</v>
      </c>
      <c r="I2" s="7" t="s">
        <v>41</v>
      </c>
      <c r="J2" s="7" t="s">
        <v>36</v>
      </c>
    </row>
    <row r="3" spans="1:10" x14ac:dyDescent="0.35">
      <c r="A3" s="7" t="s">
        <v>14</v>
      </c>
      <c r="B3" s="3">
        <v>35795</v>
      </c>
      <c r="F3" s="11">
        <v>14323</v>
      </c>
      <c r="G3" s="12">
        <v>33239</v>
      </c>
      <c r="H3" s="11" t="s">
        <v>42</v>
      </c>
      <c r="I3" s="13">
        <v>0.05</v>
      </c>
      <c r="J3" s="11">
        <f>IF(NOT(OR( F3 = "", G3 = "", H3 = "", I3 = "")), IF(H3  = 'Dashboard-Lists'!E3, _xlfn.XLOOKUP(G3, Table3[State Farm Cumulative Loss Triangle], Table3[CDF]) * F3 * (1+ I3), _xlfn.XLOOKUP(G3, Table9[Industry Cumulative Loss Triangle], Table9[CDF])* F3* (1+I3)), "")</f>
        <v>15172.291639592164</v>
      </c>
    </row>
    <row r="4" spans="1:10" x14ac:dyDescent="0.35">
      <c r="A4" s="7" t="s">
        <v>15</v>
      </c>
      <c r="B4" s="4">
        <f>'Actuarial Triangle'!K3+ 'Actuarial Triangle'!J4 + 'Actuarial Triangle'!I5 +'Actuarial Triangle'!H6+'Actuarial Triangle'!G7+'Actuarial Triangle'!F8+'Actuarial Triangle'!E9+'Actuarial Triangle'!D10+'Actuarial Triangle'!C11+'Actuarial Triangle'!B12</f>
        <v>69719804</v>
      </c>
    </row>
    <row r="5" spans="1:10" x14ac:dyDescent="0.35">
      <c r="A5" s="7" t="s">
        <v>16</v>
      </c>
      <c r="B5" s="4">
        <f>SUM('Actuarial Triangle'!M2:M11)</f>
        <v>70961158.729244575</v>
      </c>
    </row>
    <row r="6" spans="1:10" x14ac:dyDescent="0.35">
      <c r="B6" s="1"/>
    </row>
    <row r="9" spans="1:10" x14ac:dyDescent="0.35">
      <c r="A9" s="16" t="s">
        <v>32</v>
      </c>
      <c r="B9" s="17"/>
    </row>
    <row r="10" spans="1:10" x14ac:dyDescent="0.35">
      <c r="A10" s="6" t="s">
        <v>13</v>
      </c>
      <c r="B10" s="5" t="s">
        <v>12</v>
      </c>
    </row>
    <row r="11" spans="1:10" x14ac:dyDescent="0.35">
      <c r="A11" s="7" t="s">
        <v>14</v>
      </c>
      <c r="B11" s="3">
        <v>35795</v>
      </c>
    </row>
    <row r="12" spans="1:10" x14ac:dyDescent="0.35">
      <c r="A12" s="7" t="s">
        <v>15</v>
      </c>
      <c r="B12" s="4">
        <f>'Actuarial Triangle'!K23+'Actuarial Triangle'!J24+'Actuarial Triangle'!I25+'Actuarial Triangle'!H26+'Actuarial Triangle'!G27+'Actuarial Triangle'!F28+'Actuarial Triangle'!E29+'Actuarial Triangle'!D30+'Actuarial Triangle'!C31+'Actuarial Triangle'!B32</f>
        <v>90371614</v>
      </c>
    </row>
    <row r="13" spans="1:10" x14ac:dyDescent="0.35">
      <c r="A13" s="7" t="s">
        <v>16</v>
      </c>
      <c r="B13" s="4">
        <f>SUM('Actuarial Triangle'!M23:M32)</f>
        <v>106235289.67720096</v>
      </c>
    </row>
    <row r="14" spans="1:10" x14ac:dyDescent="0.35">
      <c r="B14" s="1"/>
    </row>
  </sheetData>
  <mergeCells count="3">
    <mergeCell ref="A1:B1"/>
    <mergeCell ref="A9:B9"/>
    <mergeCell ref="F1:J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9FFEFC-C9FD-49AE-BA3B-399FCF0690B8}">
          <x14:formula1>
            <xm:f>'Dashboard-Lists'!$D$3:$D$12</xm:f>
          </x14:formula1>
          <xm:sqref>G3</xm:sqref>
        </x14:dataValidation>
        <x14:dataValidation type="list" allowBlank="1" showInputMessage="1" showErrorMessage="1" xr:uid="{AEE8EDC2-B114-4828-92EC-F4841B1EF49E}">
          <x14:formula1>
            <xm:f>'Dashboard-Lists'!$E$3:$E$4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1A28-235E-44CB-BF56-76975DF37D3E}">
  <dimension ref="D2:E12"/>
  <sheetViews>
    <sheetView workbookViewId="0">
      <selection activeCell="E3" sqref="E3"/>
    </sheetView>
  </sheetViews>
  <sheetFormatPr defaultRowHeight="14.5" x14ac:dyDescent="0.35"/>
  <cols>
    <col min="4" max="4" width="16.7265625" bestFit="1" customWidth="1"/>
  </cols>
  <sheetData>
    <row r="2" spans="4:5" x14ac:dyDescent="0.35">
      <c r="D2" t="s">
        <v>37</v>
      </c>
      <c r="E2" t="s">
        <v>38</v>
      </c>
    </row>
    <row r="3" spans="4:5" x14ac:dyDescent="0.35">
      <c r="D3" s="8">
        <v>32143</v>
      </c>
      <c r="E3" t="s">
        <v>42</v>
      </c>
    </row>
    <row r="4" spans="4:5" x14ac:dyDescent="0.35">
      <c r="D4" s="8">
        <v>32509</v>
      </c>
      <c r="E4" t="s">
        <v>39</v>
      </c>
    </row>
    <row r="5" spans="4:5" x14ac:dyDescent="0.35">
      <c r="D5" s="8">
        <v>32874</v>
      </c>
    </row>
    <row r="6" spans="4:5" x14ac:dyDescent="0.35">
      <c r="D6" s="8">
        <v>33239</v>
      </c>
    </row>
    <row r="7" spans="4:5" x14ac:dyDescent="0.35">
      <c r="D7" s="8">
        <v>33604</v>
      </c>
    </row>
    <row r="8" spans="4:5" x14ac:dyDescent="0.35">
      <c r="D8" s="8">
        <v>33970</v>
      </c>
    </row>
    <row r="9" spans="4:5" x14ac:dyDescent="0.35">
      <c r="D9" s="8">
        <v>34335</v>
      </c>
    </row>
    <row r="10" spans="4:5" x14ac:dyDescent="0.35">
      <c r="D10" s="8">
        <v>34700</v>
      </c>
    </row>
    <row r="11" spans="4:5" x14ac:dyDescent="0.35">
      <c r="D11" s="8">
        <v>35065</v>
      </c>
    </row>
    <row r="12" spans="4:5" x14ac:dyDescent="0.35">
      <c r="D12" s="9">
        <v>35431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38"/>
  <sheetViews>
    <sheetView tabSelected="1" zoomScale="85" zoomScaleNormal="85" workbookViewId="0">
      <selection activeCell="G3" sqref="G3"/>
    </sheetView>
  </sheetViews>
  <sheetFormatPr defaultRowHeight="14.5" x14ac:dyDescent="0.35"/>
  <cols>
    <col min="1" max="1" width="34.54296875" customWidth="1"/>
    <col min="2" max="2" width="18.36328125" bestFit="1" customWidth="1"/>
    <col min="3" max="3" width="11.7265625" bestFit="1" customWidth="1"/>
    <col min="4" max="9" width="10.36328125" customWidth="1"/>
    <col min="10" max="11" width="11.453125" customWidth="1"/>
    <col min="13" max="13" width="23.453125" customWidth="1"/>
  </cols>
  <sheetData>
    <row r="3" spans="1:13" x14ac:dyDescent="0.3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17</v>
      </c>
      <c r="M3" t="s">
        <v>40</v>
      </c>
    </row>
    <row r="4" spans="1:13" x14ac:dyDescent="0.35">
      <c r="A4" s="10">
        <v>32143</v>
      </c>
      <c r="B4">
        <v>2439272</v>
      </c>
      <c r="C4">
        <v>4722902</v>
      </c>
      <c r="D4">
        <v>5705646</v>
      </c>
      <c r="E4">
        <v>6238289</v>
      </c>
      <c r="F4">
        <v>6519491</v>
      </c>
      <c r="G4">
        <v>6677426</v>
      </c>
      <c r="H4">
        <v>6750431</v>
      </c>
      <c r="I4">
        <v>6787444</v>
      </c>
      <c r="J4">
        <v>6808809</v>
      </c>
      <c r="K4">
        <v>6815646</v>
      </c>
      <c r="L4" s="19">
        <f>(1+K17)</f>
        <v>1</v>
      </c>
      <c r="M4">
        <f>K4 * L4</f>
        <v>6815646</v>
      </c>
    </row>
    <row r="5" spans="1:13" x14ac:dyDescent="0.35">
      <c r="A5" s="10">
        <v>32509</v>
      </c>
      <c r="B5">
        <v>2828267</v>
      </c>
      <c r="C5">
        <v>5368026</v>
      </c>
      <c r="D5">
        <v>6494597</v>
      </c>
      <c r="E5">
        <v>7096377</v>
      </c>
      <c r="F5">
        <v>7417869</v>
      </c>
      <c r="G5">
        <v>7575814</v>
      </c>
      <c r="H5">
        <v>7655217</v>
      </c>
      <c r="I5">
        <v>7693240</v>
      </c>
      <c r="J5">
        <v>7712077</v>
      </c>
      <c r="L5">
        <f>J18</f>
        <v>1.0010041403716861</v>
      </c>
      <c r="M5">
        <f>J5*L5</f>
        <v>7719821.007865251</v>
      </c>
    </row>
    <row r="6" spans="1:13" x14ac:dyDescent="0.35">
      <c r="A6" s="10">
        <v>32874</v>
      </c>
      <c r="B6">
        <v>3186948</v>
      </c>
      <c r="C6">
        <v>5913490</v>
      </c>
      <c r="D6">
        <v>7140613</v>
      </c>
      <c r="E6">
        <v>7774615</v>
      </c>
      <c r="F6">
        <v>8096374</v>
      </c>
      <c r="G6">
        <v>8251086</v>
      </c>
      <c r="H6">
        <v>8325184</v>
      </c>
      <c r="I6">
        <v>8364955</v>
      </c>
      <c r="L6">
        <f>I18* L5</f>
        <v>1.0037831781886306</v>
      </c>
      <c r="M6">
        <f>I6*L6</f>
        <v>8396601.1153048761</v>
      </c>
    </row>
    <row r="7" spans="1:13" x14ac:dyDescent="0.35">
      <c r="A7" s="10">
        <v>33239</v>
      </c>
      <c r="B7">
        <v>3192619</v>
      </c>
      <c r="C7">
        <v>5878000</v>
      </c>
      <c r="D7">
        <v>7075254</v>
      </c>
      <c r="E7">
        <v>7698459</v>
      </c>
      <c r="F7">
        <v>7996404</v>
      </c>
      <c r="G7">
        <v>8140065</v>
      </c>
      <c r="H7">
        <v>8215810</v>
      </c>
      <c r="L7">
        <f>H18*L6</f>
        <v>1.0088530029683966</v>
      </c>
      <c r="M7">
        <f>H7*L7</f>
        <v>8288544.5903177829</v>
      </c>
    </row>
    <row r="8" spans="1:13" x14ac:dyDescent="0.35">
      <c r="A8" s="10">
        <v>33604</v>
      </c>
      <c r="B8">
        <v>3561950</v>
      </c>
      <c r="C8">
        <v>6474291</v>
      </c>
      <c r="D8">
        <v>7763969</v>
      </c>
      <c r="E8">
        <v>8404713</v>
      </c>
      <c r="F8">
        <v>8716926</v>
      </c>
      <c r="G8">
        <v>8876813</v>
      </c>
      <c r="L8">
        <f>G18*L7</f>
        <v>1.0188034969756099</v>
      </c>
      <c r="M8">
        <f>G8*L8</f>
        <v>9043728.1263985541</v>
      </c>
    </row>
    <row r="9" spans="1:13" x14ac:dyDescent="0.35">
      <c r="A9" s="10">
        <v>33970</v>
      </c>
      <c r="B9">
        <v>3895076</v>
      </c>
      <c r="C9">
        <v>7024867</v>
      </c>
      <c r="D9">
        <v>8343417</v>
      </c>
      <c r="E9">
        <v>9003120</v>
      </c>
      <c r="F9">
        <v>9337099</v>
      </c>
      <c r="L9">
        <f>F18*L8</f>
        <v>1.0391584983029027</v>
      </c>
      <c r="M9">
        <f>F9*L9</f>
        <v>9702725.7753455341</v>
      </c>
    </row>
    <row r="10" spans="1:13" x14ac:dyDescent="0.35">
      <c r="A10" s="10">
        <v>34335</v>
      </c>
      <c r="B10">
        <v>4323103</v>
      </c>
      <c r="C10">
        <v>7590944</v>
      </c>
      <c r="D10">
        <v>8924062</v>
      </c>
      <c r="E10">
        <v>9640098</v>
      </c>
      <c r="L10">
        <f>E18* L9</f>
        <v>1.0811737986074954</v>
      </c>
      <c r="M10">
        <f>E10*L10</f>
        <v>10422621.373608518</v>
      </c>
    </row>
    <row r="11" spans="1:13" x14ac:dyDescent="0.35">
      <c r="A11" s="10">
        <v>34700</v>
      </c>
      <c r="B11">
        <v>4491070</v>
      </c>
      <c r="C11">
        <v>7664190</v>
      </c>
      <c r="D11">
        <v>9006113</v>
      </c>
      <c r="L11">
        <f>D18* L10</f>
        <v>1.173810581813048</v>
      </c>
      <c r="M11">
        <f>D11*L11</f>
        <v>10571470.740404055</v>
      </c>
    </row>
    <row r="12" spans="1:13" x14ac:dyDescent="0.35">
      <c r="A12" s="10">
        <v>35065</v>
      </c>
      <c r="B12">
        <v>4444088</v>
      </c>
      <c r="C12">
        <v>7486113</v>
      </c>
      <c r="L12">
        <f>C18*L11</f>
        <v>1.4013777500403282</v>
      </c>
      <c r="M12">
        <f>C12*L12</f>
        <v>10490872.192487651</v>
      </c>
    </row>
    <row r="13" spans="1:13" x14ac:dyDescent="0.35">
      <c r="A13" s="10">
        <v>35431</v>
      </c>
      <c r="B13">
        <v>4344144</v>
      </c>
      <c r="L13">
        <f>B18*L12</f>
        <v>2.5168729309273341</v>
      </c>
      <c r="M13">
        <f>B13*L13</f>
        <v>10933658.441650392</v>
      </c>
    </row>
    <row r="16" spans="1:13" x14ac:dyDescent="0.35">
      <c r="A16" t="s">
        <v>1</v>
      </c>
      <c r="B16" t="s">
        <v>3</v>
      </c>
      <c r="C16" t="s">
        <v>4</v>
      </c>
      <c r="D16" t="s">
        <v>5</v>
      </c>
      <c r="E16" t="s">
        <v>6</v>
      </c>
      <c r="F16" t="s">
        <v>11</v>
      </c>
      <c r="G16" t="s">
        <v>7</v>
      </c>
      <c r="H16" t="s">
        <v>8</v>
      </c>
      <c r="I16" t="s">
        <v>9</v>
      </c>
      <c r="J16" t="s">
        <v>10</v>
      </c>
      <c r="K16" t="s">
        <v>41</v>
      </c>
    </row>
    <row r="17" spans="1:13" x14ac:dyDescent="0.35">
      <c r="A17" t="s">
        <v>29</v>
      </c>
      <c r="B17">
        <f>SUM(C4:C12)/SUM(B4:B12)</f>
        <v>1.7959989238125871</v>
      </c>
      <c r="C17">
        <f>SUM(D4:D11)/SUM(C4:C11)</f>
        <v>1.1938704351052822</v>
      </c>
      <c r="D17">
        <f>SUM(E4:E10)/SUM(D4:D10)</f>
        <v>1.0856816760865502</v>
      </c>
      <c r="E17">
        <f>SUM(F4:F9)/SUM(E4:E9)</f>
        <v>1.0404320422468851</v>
      </c>
      <c r="F17">
        <f>SUM(G4:G8)/SUM(F4:F8)</f>
        <v>1.0199793202395928</v>
      </c>
      <c r="G17">
        <f>SUM(H4:H7)/SUM(G4:G7)</f>
        <v>1.0098631752871186</v>
      </c>
      <c r="H17">
        <f>SUM(I4:I6)/SUM(H4:H6)</f>
        <v>1.0050507170173093</v>
      </c>
      <c r="I17">
        <f>SUM(J4:J5)/SUM(I4:I5)</f>
        <v>1.0027762500721651</v>
      </c>
      <c r="J17">
        <f>SUM(K4)/SUM(J4:J4)</f>
        <v>1.0010041403716861</v>
      </c>
      <c r="K17" s="14">
        <v>0</v>
      </c>
    </row>
    <row r="18" spans="1:13" x14ac:dyDescent="0.35">
      <c r="A18" t="s">
        <v>2</v>
      </c>
      <c r="B18">
        <f>B17*(1+ $K$17)</f>
        <v>1.7959989238125871</v>
      </c>
      <c r="C18">
        <f t="shared" ref="C18:J18" si="0">C17*(1+ $K$17)</f>
        <v>1.1938704351052822</v>
      </c>
      <c r="D18">
        <f t="shared" si="0"/>
        <v>1.0856816760865502</v>
      </c>
      <c r="E18">
        <f t="shared" si="0"/>
        <v>1.0404320422468851</v>
      </c>
      <c r="F18">
        <f t="shared" si="0"/>
        <v>1.0199793202395928</v>
      </c>
      <c r="G18">
        <f t="shared" si="0"/>
        <v>1.0098631752871186</v>
      </c>
      <c r="H18">
        <f t="shared" si="0"/>
        <v>1.0050507170173093</v>
      </c>
      <c r="I18">
        <f t="shared" si="0"/>
        <v>1.0027762500721651</v>
      </c>
      <c r="J18">
        <f t="shared" si="0"/>
        <v>1.0010041403716861</v>
      </c>
    </row>
    <row r="23" spans="1:13" x14ac:dyDescent="0.3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17</v>
      </c>
      <c r="M23" t="s">
        <v>40</v>
      </c>
    </row>
    <row r="24" spans="1:13" x14ac:dyDescent="0.35">
      <c r="A24" s="10">
        <v>32143</v>
      </c>
      <c r="B24">
        <v>3092818</v>
      </c>
      <c r="C24">
        <v>5942711</v>
      </c>
      <c r="D24">
        <v>7239089</v>
      </c>
      <c r="E24">
        <v>7930109</v>
      </c>
      <c r="F24">
        <v>8318795</v>
      </c>
      <c r="G24">
        <v>8518201</v>
      </c>
      <c r="H24">
        <v>8610355</v>
      </c>
      <c r="I24">
        <v>8655509</v>
      </c>
      <c r="J24">
        <v>8682451</v>
      </c>
      <c r="K24">
        <v>8690036</v>
      </c>
      <c r="L24" s="19">
        <f>1+ K37</f>
        <v>1</v>
      </c>
      <c r="M24">
        <f>K24</f>
        <v>8690036</v>
      </c>
    </row>
    <row r="25" spans="1:13" x14ac:dyDescent="0.35">
      <c r="A25" s="10">
        <v>32509</v>
      </c>
      <c r="B25">
        <v>3556683</v>
      </c>
      <c r="C25">
        <v>6753435</v>
      </c>
      <c r="D25">
        <v>8219551</v>
      </c>
      <c r="E25">
        <v>9018288</v>
      </c>
      <c r="F25">
        <v>9441842</v>
      </c>
      <c r="G25">
        <v>9647917</v>
      </c>
      <c r="H25">
        <v>9753014</v>
      </c>
      <c r="I25">
        <v>9800477</v>
      </c>
      <c r="J25">
        <v>9823747</v>
      </c>
      <c r="L25">
        <f>J38</f>
        <v>1.0008736012446255</v>
      </c>
      <c r="M25">
        <f>L25* J25</f>
        <v>9832329.0376060866</v>
      </c>
    </row>
    <row r="26" spans="1:13" x14ac:dyDescent="0.35">
      <c r="A26" s="10">
        <v>32874</v>
      </c>
      <c r="B26">
        <v>4015052</v>
      </c>
      <c r="C26">
        <v>7478257</v>
      </c>
      <c r="D26">
        <v>9094949</v>
      </c>
      <c r="E26">
        <v>9945288</v>
      </c>
      <c r="F26">
        <v>10371175</v>
      </c>
      <c r="G26">
        <v>10575467</v>
      </c>
      <c r="H26">
        <v>10671988</v>
      </c>
      <c r="I26">
        <v>10728411</v>
      </c>
      <c r="L26">
        <f>L25*I38</f>
        <v>1.0035966129149689</v>
      </c>
      <c r="M26">
        <f>L26*I26</f>
        <v>10766996.941559695</v>
      </c>
    </row>
    <row r="27" spans="1:13" x14ac:dyDescent="0.35">
      <c r="A27" s="10">
        <v>33239</v>
      </c>
      <c r="B27">
        <v>4065571</v>
      </c>
      <c r="C27">
        <v>7564284</v>
      </c>
      <c r="D27">
        <v>9161104</v>
      </c>
      <c r="E27">
        <v>10006407</v>
      </c>
      <c r="F27">
        <v>10419901</v>
      </c>
      <c r="G27">
        <v>10612083</v>
      </c>
      <c r="H27">
        <v>10713621</v>
      </c>
      <c r="L27">
        <f>L26*H38</f>
        <v>1.0087481266087337</v>
      </c>
      <c r="M27">
        <f>L27*H27</f>
        <v>10807345.112945989</v>
      </c>
    </row>
    <row r="28" spans="1:13" x14ac:dyDescent="0.35">
      <c r="A28" s="10">
        <v>33604</v>
      </c>
      <c r="B28">
        <v>4551591</v>
      </c>
      <c r="C28">
        <v>8344021</v>
      </c>
      <c r="D28">
        <v>10047179</v>
      </c>
      <c r="E28">
        <v>10901995</v>
      </c>
      <c r="F28">
        <v>11336777</v>
      </c>
      <c r="G28">
        <v>11555121</v>
      </c>
      <c r="L28">
        <f>L27*G38</f>
        <v>1.0188810631860739</v>
      </c>
      <c r="M28">
        <f>L28 *G28</f>
        <v>11773293.969723729</v>
      </c>
    </row>
    <row r="29" spans="1:13" x14ac:dyDescent="0.35">
      <c r="A29" s="10">
        <v>33970</v>
      </c>
      <c r="B29">
        <v>5020277</v>
      </c>
      <c r="C29">
        <v>9125734</v>
      </c>
      <c r="D29">
        <v>10890282</v>
      </c>
      <c r="E29">
        <v>11782219</v>
      </c>
      <c r="F29">
        <v>12249826</v>
      </c>
      <c r="L29">
        <f>L28*F38</f>
        <v>1.0397188021091739</v>
      </c>
      <c r="M29">
        <f>L29*F29</f>
        <v>12736374.414765812</v>
      </c>
    </row>
    <row r="30" spans="1:13" x14ac:dyDescent="0.35">
      <c r="A30" s="10">
        <v>34335</v>
      </c>
      <c r="B30">
        <v>5569355</v>
      </c>
      <c r="C30">
        <v>9871002</v>
      </c>
      <c r="D30">
        <v>11641397</v>
      </c>
      <c r="E30">
        <v>12600432</v>
      </c>
      <c r="L30">
        <f>L29*E38</f>
        <v>1.0842851048160453</v>
      </c>
      <c r="M30">
        <f>L30* E30</f>
        <v>13662460.731847452</v>
      </c>
    </row>
    <row r="31" spans="1:13" x14ac:dyDescent="0.35">
      <c r="A31" s="10">
        <v>34700</v>
      </c>
      <c r="B31">
        <v>5803124</v>
      </c>
      <c r="C31">
        <v>10008734</v>
      </c>
      <c r="D31">
        <v>11807279</v>
      </c>
      <c r="L31">
        <f>L30*D38</f>
        <v>1.1806402738699089</v>
      </c>
      <c r="M31">
        <f>L31* D31</f>
        <v>13940149.112218425</v>
      </c>
    </row>
    <row r="32" spans="1:13" x14ac:dyDescent="0.35">
      <c r="A32" s="10">
        <v>35065</v>
      </c>
      <c r="B32">
        <v>5835368</v>
      </c>
      <c r="C32">
        <v>9900842</v>
      </c>
      <c r="L32">
        <f>L31*C38</f>
        <v>1.4166779306783974</v>
      </c>
      <c r="M32">
        <f>L32*C32</f>
        <v>14026304.356533766</v>
      </c>
    </row>
    <row r="33" spans="1:13" x14ac:dyDescent="0.35">
      <c r="A33" s="10">
        <v>35431</v>
      </c>
      <c r="B33">
        <v>5754249</v>
      </c>
      <c r="L33">
        <f>L32*B38</f>
        <v>2.5592797331061909</v>
      </c>
      <c r="M33">
        <f>L33*B33</f>
        <v>14726732.844946567</v>
      </c>
    </row>
    <row r="36" spans="1:13" x14ac:dyDescent="0.35">
      <c r="A36" s="2" t="s">
        <v>1</v>
      </c>
      <c r="B36" t="s">
        <v>3</v>
      </c>
      <c r="C36" t="s">
        <v>4</v>
      </c>
      <c r="D36" t="s">
        <v>5</v>
      </c>
      <c r="E36" t="s">
        <v>6</v>
      </c>
      <c r="F36" t="s">
        <v>11</v>
      </c>
      <c r="G36" t="s">
        <v>7</v>
      </c>
      <c r="H36" t="s">
        <v>8</v>
      </c>
      <c r="I36" t="s">
        <v>9</v>
      </c>
      <c r="J36" t="s">
        <v>10</v>
      </c>
      <c r="K36" t="s">
        <v>41</v>
      </c>
    </row>
    <row r="37" spans="1:13" x14ac:dyDescent="0.35">
      <c r="A37" t="s">
        <v>29</v>
      </c>
      <c r="B37">
        <f>SUM(C24:C32)/ SUM(B24:B32)</f>
        <v>1.8065360359504166</v>
      </c>
      <c r="C37">
        <f>SUM(D24:D31)/SUM(C24:C31)</f>
        <v>1.1999234331002475</v>
      </c>
      <c r="D37">
        <f>SUM(E24:E30)/SUM(D24:D30)</f>
        <v>1.0888651597498527</v>
      </c>
      <c r="E37">
        <f>SUM(F24:F29)/SUM(E24:E29)</f>
        <v>1.0428638037673881</v>
      </c>
      <c r="F37">
        <f>SUM(G24:G28)/SUM(F24:F28)</f>
        <v>1.0204515911385572</v>
      </c>
      <c r="G37">
        <f>SUM(H24:H27)/SUM(G24:G27)</f>
        <v>1.010045061110949</v>
      </c>
      <c r="H37">
        <f>SUM(I24:I26)/SUM(H24:H26)</f>
        <v>1.0051330520923163</v>
      </c>
      <c r="I37">
        <f>SUM(J24:J25)/SUM(I24:I25)</f>
        <v>1.0027206349202908</v>
      </c>
      <c r="J37">
        <f>K24/J24</f>
        <v>1.0008736012446255</v>
      </c>
      <c r="K37" s="14">
        <v>0</v>
      </c>
    </row>
    <row r="38" spans="1:13" x14ac:dyDescent="0.35">
      <c r="A38" t="s">
        <v>2</v>
      </c>
      <c r="B38">
        <f>B37 * (1+ $K$37)</f>
        <v>1.8065360359504166</v>
      </c>
      <c r="C38">
        <f t="shared" ref="C38:J38" si="1">C37 * (1+ $K$37)</f>
        <v>1.1999234331002475</v>
      </c>
      <c r="D38">
        <f t="shared" si="1"/>
        <v>1.0888651597498527</v>
      </c>
      <c r="E38">
        <f t="shared" si="1"/>
        <v>1.0428638037673881</v>
      </c>
      <c r="F38">
        <f t="shared" si="1"/>
        <v>1.0204515911385572</v>
      </c>
      <c r="G38">
        <f t="shared" si="1"/>
        <v>1.010045061110949</v>
      </c>
      <c r="H38">
        <f t="shared" si="1"/>
        <v>1.0051330520923163</v>
      </c>
      <c r="I38">
        <f t="shared" si="1"/>
        <v>1.0027206349202908</v>
      </c>
      <c r="J38">
        <f t="shared" si="1"/>
        <v>1.0008736012446255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Dashboard-Lists</vt:lpstr>
      <vt:lpstr>Actuarial Triangle</vt:lpstr>
      <vt:lpstr>Modifier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Nikiforov</cp:lastModifiedBy>
  <dcterms:created xsi:type="dcterms:W3CDTF">2026-07-04T23:32:40Z</dcterms:created>
  <dcterms:modified xsi:type="dcterms:W3CDTF">2026-07-13T01:30:03Z</dcterms:modified>
</cp:coreProperties>
</file>