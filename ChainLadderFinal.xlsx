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My PC (DESKTOP-JQBDP5S)\Downloads\ChainLadder\"/>
    </mc:Choice>
  </mc:AlternateContent>
  <xr:revisionPtr revIDLastSave="0" documentId="13_ncr:1_{653062DD-68B9-404A-95D8-9EB19F20AAC8}" xr6:coauthVersionLast="47" xr6:coauthVersionMax="47" xr10:uidLastSave="{00000000-0000-0000-0000-000000000000}"/>
  <bookViews>
    <workbookView xWindow="57600" yWindow="16035" windowWidth="13860" windowHeight="16200" activeTab="1" xr2:uid="{00000000-000D-0000-FFFF-FFFF00000000}"/>
  </bookViews>
  <sheets>
    <sheet name="Dashboard" sheetId="1" r:id="rId1"/>
    <sheet name="Actuarial Triang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M13" i="2"/>
  <c r="M12" i="2"/>
  <c r="M11" i="2"/>
  <c r="M10" i="2"/>
  <c r="M9" i="2"/>
  <c r="M8" i="2"/>
  <c r="M7" i="2"/>
  <c r="M6" i="2"/>
  <c r="M5" i="2"/>
  <c r="M4" i="2"/>
  <c r="L13" i="2"/>
  <c r="L12" i="2"/>
  <c r="L11" i="2"/>
  <c r="L10" i="2"/>
  <c r="L9" i="2"/>
  <c r="L8" i="2"/>
  <c r="L7" i="2"/>
  <c r="L6" i="2"/>
  <c r="L5" i="2"/>
  <c r="J17" i="2"/>
  <c r="J18" i="2" s="1"/>
  <c r="I17" i="2"/>
  <c r="H17" i="2"/>
  <c r="G17" i="2"/>
  <c r="F17" i="2"/>
  <c r="E17" i="2"/>
  <c r="E18" i="2" s="1"/>
  <c r="D17" i="2"/>
  <c r="D18" i="2" s="1"/>
  <c r="C17" i="2"/>
  <c r="B17" i="2"/>
  <c r="C18" i="2"/>
  <c r="F18" i="2"/>
  <c r="G18" i="2"/>
  <c r="H18" i="2"/>
  <c r="I18" i="2"/>
  <c r="B18" i="2"/>
  <c r="B6" i="1"/>
</calcChain>
</file>

<file path=xl/sharedStrings.xml><?xml version="1.0" encoding="utf-8"?>
<sst xmlns="http://schemas.openxmlformats.org/spreadsheetml/2006/main" count="22" uniqueCount="22">
  <si>
    <t>State Farm Cumulative Loss Triangle</t>
  </si>
  <si>
    <t>Maturity Interval</t>
  </si>
  <si>
    <t>Selected LDF</t>
  </si>
  <si>
    <t>12 to 24</t>
  </si>
  <si>
    <t>24 to 36</t>
  </si>
  <si>
    <t>36 to 48</t>
  </si>
  <si>
    <t>48 to 60</t>
  </si>
  <si>
    <t>72 to 84</t>
  </si>
  <si>
    <t>84 to 96</t>
  </si>
  <si>
    <t>96 to 108</t>
  </si>
  <si>
    <t>108 to 120</t>
  </si>
  <si>
    <t>50 to 72</t>
  </si>
  <si>
    <t>Executive Loss Reserve Summary</t>
  </si>
  <si>
    <t>Passenger Auto</t>
  </si>
  <si>
    <t>Line of Business:</t>
  </si>
  <si>
    <t>Evaluation Date:</t>
  </si>
  <si>
    <t>Model indicated LDF</t>
  </si>
  <si>
    <t>Total Cumulative Paid-To-Date</t>
  </si>
  <si>
    <t>Projected Ultimate Loss Cost</t>
  </si>
  <si>
    <t>CDF</t>
  </si>
  <si>
    <t>Projected Ulimate Loss</t>
  </si>
  <si>
    <t>Industry Cumulative Loss Triangle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</si>
</sst>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B7" sqref="B7"/>
    </sheetView>
  </sheetViews>
  <sheetFormatPr defaultRowHeight="14.5" x14ac:dyDescent="0.35"/>
  <cols>
    <col min="1" max="1" width="27.26953125" bestFit="1" customWidth="1"/>
    <col min="2" max="2" width="21.36328125" customWidth="1"/>
    <col min="3" max="3" width="14.1796875" bestFit="1" customWidth="1"/>
    <col min="4" max="4" width="8.81640625" bestFit="1" customWidth="1"/>
  </cols>
  <sheetData>
    <row r="1" spans="1:4" x14ac:dyDescent="0.35">
      <c r="A1" s="2" t="s">
        <v>12</v>
      </c>
      <c r="B1" s="2"/>
      <c r="C1" s="2"/>
      <c r="D1" s="2"/>
    </row>
    <row r="3" spans="1:4" x14ac:dyDescent="0.35">
      <c r="A3" t="s">
        <v>14</v>
      </c>
      <c r="B3" t="s">
        <v>13</v>
      </c>
    </row>
    <row r="4" spans="1:4" x14ac:dyDescent="0.35">
      <c r="A4" t="s">
        <v>15</v>
      </c>
      <c r="B4" s="3">
        <v>35795</v>
      </c>
    </row>
    <row r="6" spans="1:4" x14ac:dyDescent="0.35">
      <c r="A6" t="s">
        <v>17</v>
      </c>
      <c r="B6" s="4">
        <f>SUM('Actuarial Triangle'!B4:K13)</f>
        <v>373872882</v>
      </c>
    </row>
    <row r="7" spans="1:4" x14ac:dyDescent="0.35">
      <c r="A7" t="s">
        <v>18</v>
      </c>
      <c r="B7">
        <f>SUM('Actuarial Triangle'!M4:M13)</f>
        <v>92385689.363382623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tabSelected="1" zoomScale="85" zoomScaleNormal="85" workbookViewId="0">
      <selection activeCell="A21" sqref="A21"/>
    </sheetView>
  </sheetViews>
  <sheetFormatPr defaultRowHeight="14.5" x14ac:dyDescent="0.35"/>
  <cols>
    <col min="1" max="1" width="31.90625" bestFit="1" customWidth="1"/>
    <col min="2" max="2" width="18.36328125" bestFit="1" customWidth="1"/>
    <col min="3" max="3" width="11.7265625" bestFit="1" customWidth="1"/>
    <col min="13" max="13" width="21.36328125" bestFit="1" customWidth="1"/>
  </cols>
  <sheetData>
    <row r="1" spans="1:13" x14ac:dyDescent="0.35">
      <c r="A1" t="s">
        <v>0</v>
      </c>
    </row>
    <row r="3" spans="1:13" x14ac:dyDescent="0.35">
      <c r="B3">
        <v>12</v>
      </c>
      <c r="C3">
        <v>24</v>
      </c>
      <c r="D3">
        <v>36</v>
      </c>
      <c r="E3">
        <v>48</v>
      </c>
      <c r="F3">
        <v>60</v>
      </c>
      <c r="G3">
        <v>72</v>
      </c>
      <c r="H3">
        <v>84</v>
      </c>
      <c r="I3">
        <v>96</v>
      </c>
      <c r="J3">
        <v>108</v>
      </c>
      <c r="K3">
        <v>120</v>
      </c>
      <c r="L3" t="s">
        <v>19</v>
      </c>
      <c r="M3" t="s">
        <v>20</v>
      </c>
    </row>
    <row r="4" spans="1:13" x14ac:dyDescent="0.35">
      <c r="A4" s="1">
        <v>32143</v>
      </c>
      <c r="B4">
        <v>2439272</v>
      </c>
      <c r="C4">
        <v>4722902</v>
      </c>
      <c r="D4">
        <v>5705646</v>
      </c>
      <c r="E4">
        <v>6238289</v>
      </c>
      <c r="F4">
        <v>6519491</v>
      </c>
      <c r="G4">
        <v>6677426</v>
      </c>
      <c r="H4">
        <v>6750431</v>
      </c>
      <c r="I4">
        <v>6787444</v>
      </c>
      <c r="J4">
        <v>6808809</v>
      </c>
      <c r="K4">
        <v>6815646</v>
      </c>
      <c r="L4">
        <v>1</v>
      </c>
      <c r="M4">
        <f>K4 * L4</f>
        <v>6815646</v>
      </c>
    </row>
    <row r="5" spans="1:13" x14ac:dyDescent="0.35">
      <c r="A5" s="1">
        <v>32509</v>
      </c>
      <c r="B5">
        <v>2828267</v>
      </c>
      <c r="C5">
        <v>5368026</v>
      </c>
      <c r="D5">
        <v>6494597</v>
      </c>
      <c r="E5">
        <v>7096377</v>
      </c>
      <c r="F5">
        <v>7417869</v>
      </c>
      <c r="G5">
        <v>7575814</v>
      </c>
      <c r="H5">
        <v>7655217</v>
      </c>
      <c r="I5">
        <v>7693240</v>
      </c>
      <c r="J5">
        <v>7712077</v>
      </c>
      <c r="L5">
        <f>J18</f>
        <v>1.0010041403716861</v>
      </c>
      <c r="M5">
        <f>J5*L5</f>
        <v>7719821.007865251</v>
      </c>
    </row>
    <row r="6" spans="1:13" x14ac:dyDescent="0.35">
      <c r="A6" s="1">
        <v>32874</v>
      </c>
      <c r="B6">
        <v>3186948</v>
      </c>
      <c r="C6">
        <v>5913490</v>
      </c>
      <c r="D6">
        <v>7140613</v>
      </c>
      <c r="E6">
        <v>7774615</v>
      </c>
      <c r="F6">
        <v>8096374</v>
      </c>
      <c r="G6">
        <v>8251086</v>
      </c>
      <c r="H6">
        <v>8325184</v>
      </c>
      <c r="I6">
        <v>8364955</v>
      </c>
      <c r="L6">
        <f>I18* L5</f>
        <v>1.0037831781886306</v>
      </c>
      <c r="M6">
        <f>I6*L6</f>
        <v>8396601.1153048761</v>
      </c>
    </row>
    <row r="7" spans="1:13" x14ac:dyDescent="0.35">
      <c r="A7" s="1">
        <v>33239</v>
      </c>
      <c r="B7">
        <v>3192619</v>
      </c>
      <c r="C7">
        <v>5878000</v>
      </c>
      <c r="D7">
        <v>7075254</v>
      </c>
      <c r="E7">
        <v>7698459</v>
      </c>
      <c r="F7">
        <v>7996404</v>
      </c>
      <c r="G7">
        <v>8140065</v>
      </c>
      <c r="H7">
        <v>8215810</v>
      </c>
      <c r="L7">
        <f>H18*L6</f>
        <v>1.0088530029683966</v>
      </c>
      <c r="M7">
        <f>H7*L7</f>
        <v>8288544.5903177829</v>
      </c>
    </row>
    <row r="8" spans="1:13" x14ac:dyDescent="0.35">
      <c r="A8" s="1">
        <v>33604</v>
      </c>
      <c r="B8">
        <v>3561950</v>
      </c>
      <c r="C8">
        <v>6474291</v>
      </c>
      <c r="D8">
        <v>7763969</v>
      </c>
      <c r="E8">
        <v>8404713</v>
      </c>
      <c r="F8">
        <v>8716926</v>
      </c>
      <c r="G8">
        <v>8876813</v>
      </c>
      <c r="L8">
        <f>G18*L7</f>
        <v>1.0188034969756099</v>
      </c>
      <c r="M8">
        <f>G8*L8</f>
        <v>9043728.1263985541</v>
      </c>
    </row>
    <row r="9" spans="1:13" x14ac:dyDescent="0.35">
      <c r="A9" s="1">
        <v>33970</v>
      </c>
      <c r="B9">
        <v>3895076</v>
      </c>
      <c r="C9">
        <v>7024867</v>
      </c>
      <c r="D9">
        <v>8343417</v>
      </c>
      <c r="E9">
        <v>9003120</v>
      </c>
      <c r="F9">
        <v>9337099</v>
      </c>
      <c r="L9">
        <f>F18*L8</f>
        <v>1.0391584983029027</v>
      </c>
      <c r="M9">
        <f>F9*L9</f>
        <v>9702725.7753455341</v>
      </c>
    </row>
    <row r="10" spans="1:13" x14ac:dyDescent="0.35">
      <c r="A10" s="1">
        <v>34335</v>
      </c>
      <c r="B10">
        <v>4323103</v>
      </c>
      <c r="C10">
        <v>7590944</v>
      </c>
      <c r="D10">
        <v>8924062</v>
      </c>
      <c r="E10">
        <v>9640098</v>
      </c>
      <c r="L10">
        <f>E18* L9</f>
        <v>1.0811737986074954</v>
      </c>
      <c r="M10">
        <f>E10*L10</f>
        <v>10422621.373608518</v>
      </c>
    </row>
    <row r="11" spans="1:13" x14ac:dyDescent="0.35">
      <c r="A11" s="1">
        <v>34700</v>
      </c>
      <c r="B11">
        <v>4491070</v>
      </c>
      <c r="C11">
        <v>7664190</v>
      </c>
      <c r="D11">
        <v>9006113</v>
      </c>
      <c r="L11">
        <f>D18* L10</f>
        <v>1.173810581813048</v>
      </c>
      <c r="M11">
        <f>D11*L11</f>
        <v>10571470.740404055</v>
      </c>
    </row>
    <row r="12" spans="1:13" x14ac:dyDescent="0.35">
      <c r="A12" s="1">
        <v>35065</v>
      </c>
      <c r="B12">
        <v>4444088</v>
      </c>
      <c r="C12">
        <v>7486113</v>
      </c>
      <c r="L12">
        <f>C18*L11</f>
        <v>1.4013777500403282</v>
      </c>
      <c r="M12">
        <f>C12*L12</f>
        <v>10490872.192487651</v>
      </c>
    </row>
    <row r="13" spans="1:13" x14ac:dyDescent="0.35">
      <c r="A13" s="1">
        <v>35431</v>
      </c>
      <c r="B13">
        <v>4344144</v>
      </c>
      <c r="L13">
        <f>B18*L12</f>
        <v>2.5168729309273341</v>
      </c>
      <c r="M13">
        <f>B13*L13</f>
        <v>10933658.441650392</v>
      </c>
    </row>
    <row r="16" spans="1:13" x14ac:dyDescent="0.35">
      <c r="A16" t="s">
        <v>1</v>
      </c>
      <c r="B16" t="s">
        <v>3</v>
      </c>
      <c r="C16" t="s">
        <v>4</v>
      </c>
      <c r="D16" t="s">
        <v>5</v>
      </c>
      <c r="E16" t="s">
        <v>6</v>
      </c>
      <c r="F16" t="s">
        <v>11</v>
      </c>
      <c r="G16" t="s">
        <v>7</v>
      </c>
      <c r="H16" t="s">
        <v>8</v>
      </c>
      <c r="I16" t="s">
        <v>9</v>
      </c>
      <c r="J16" t="s">
        <v>10</v>
      </c>
    </row>
    <row r="17" spans="1:10" x14ac:dyDescent="0.35">
      <c r="A17" t="s">
        <v>16</v>
      </c>
      <c r="B17">
        <f>SUM(C4:C12)/SUM(B4:B12)</f>
        <v>1.7959989238125871</v>
      </c>
      <c r="C17">
        <f>SUM(D4:D11)/SUM(C4:C11)</f>
        <v>1.1938704351052822</v>
      </c>
      <c r="D17">
        <f>SUM(E4:E10)/SUM(D4:D10)</f>
        <v>1.0856816760865502</v>
      </c>
      <c r="E17">
        <f>SUM(F4:F9)/SUM(E4:E9)</f>
        <v>1.0404320422468851</v>
      </c>
      <c r="F17">
        <f>SUM(G4:G8)/SUM(F4:F8)</f>
        <v>1.0199793202395928</v>
      </c>
      <c r="G17">
        <f>SUM(H4:H7)/SUM(G4:G7)</f>
        <v>1.0098631752871186</v>
      </c>
      <c r="H17">
        <f>SUM(I4:I6)/SUM(H4:H6)</f>
        <v>1.0050507170173093</v>
      </c>
      <c r="I17">
        <f>SUM(J4:J5)/SUM(I4:I5)</f>
        <v>1.0027762500721651</v>
      </c>
      <c r="J17">
        <f>SUM(K4)/SUM(J4:J4)</f>
        <v>1.0010041403716861</v>
      </c>
    </row>
    <row r="18" spans="1:10" x14ac:dyDescent="0.35">
      <c r="A18" t="s">
        <v>2</v>
      </c>
      <c r="B18">
        <f>B17</f>
        <v>1.7959989238125871</v>
      </c>
      <c r="C18">
        <f t="shared" ref="C18:J18" si="0">C17</f>
        <v>1.1938704351052822</v>
      </c>
      <c r="D18">
        <f t="shared" si="0"/>
        <v>1.0856816760865502</v>
      </c>
      <c r="E18">
        <f t="shared" si="0"/>
        <v>1.0404320422468851</v>
      </c>
      <c r="F18">
        <f t="shared" si="0"/>
        <v>1.0199793202395928</v>
      </c>
      <c r="G18">
        <f t="shared" si="0"/>
        <v>1.0098631752871186</v>
      </c>
      <c r="H18">
        <f t="shared" si="0"/>
        <v>1.0050507170173093</v>
      </c>
      <c r="I18">
        <f t="shared" si="0"/>
        <v>1.0027762500721651</v>
      </c>
      <c r="J18">
        <f t="shared" si="0"/>
        <v>1.0010041403716861</v>
      </c>
    </row>
    <row r="20" spans="1:10" x14ac:dyDescent="0.35">
      <c r="A20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Actuarial Triangle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 Nikiforov</cp:lastModifiedBy>
  <dcterms:created xsi:type="dcterms:W3CDTF">2026-07-04T23:32:40Z</dcterms:created>
  <dcterms:modified xsi:type="dcterms:W3CDTF">2026-07-06T21:38:48Z</dcterms:modified>
</cp:coreProperties>
</file>